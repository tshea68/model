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History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'Inputs'!$A$7:$A$10</f>
            </numRef>
          </cat>
          <val>
            <numRef>
              <f>'Inputs'!$B$7:$B$10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Valuation Components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'Summary'!$E$20:$E$23</f>
            </numRef>
          </cat>
          <val>
            <numRef>
              <f>'Summary'!$F$20:$F$23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Company &amp; General Settings</t>
        </is>
      </c>
    </row>
    <row r="2">
      <c r="A2" t="inlineStr">
        <is>
          <t>Business Name</t>
        </is>
      </c>
      <c r="B2" t="inlineStr">
        <is>
          <t>Example HVAC Co.</t>
        </is>
      </c>
    </row>
    <row r="3">
      <c r="A3" t="inlineStr">
        <is>
          <t>Currency</t>
        </is>
      </c>
      <c r="B3" t="inlineStr">
        <is>
          <t>USD</t>
        </is>
      </c>
    </row>
    <row r="4">
      <c r="A4" t="inlineStr">
        <is>
          <t>Valuation Year</t>
        </is>
      </c>
      <c r="B4" t="n">
        <v>2025</v>
      </c>
    </row>
    <row r="6">
      <c r="A6" s="1" t="inlineStr">
        <is>
          <t>Historical &amp; Current Revenue</t>
        </is>
      </c>
    </row>
    <row r="7">
      <c r="A7" t="inlineStr">
        <is>
          <t>Revenue - 3 Years Ago</t>
        </is>
      </c>
      <c r="B7" s="2" t="n">
        <v>2000000</v>
      </c>
    </row>
    <row r="8">
      <c r="A8" t="inlineStr">
        <is>
          <t>Revenue - 2 Years Ago</t>
        </is>
      </c>
      <c r="B8" s="2" t="n">
        <v>2000000</v>
      </c>
    </row>
    <row r="9">
      <c r="A9" t="inlineStr">
        <is>
          <t>Revenue - Last Year</t>
        </is>
      </c>
      <c r="B9" s="2" t="n">
        <v>2000000</v>
      </c>
    </row>
    <row r="10">
      <c r="A10" t="inlineStr">
        <is>
          <t>Revenue - Trailing 12 Months (TTM)</t>
        </is>
      </c>
      <c r="B10" s="2" t="n">
        <v>2000000</v>
      </c>
    </row>
    <row r="11">
      <c r="A11" t="inlineStr">
        <is>
          <t>5-Year Revenue CAGR (optional override)</t>
        </is>
      </c>
      <c r="B11" s="3" t="n">
        <v>0.08</v>
      </c>
    </row>
    <row r="13">
      <c r="A13" s="1" t="inlineStr">
        <is>
          <t>Revenue Mix (TTM)</t>
        </is>
      </c>
    </row>
    <row r="14">
      <c r="A14" t="inlineStr">
        <is>
          <t>Service &amp; Repair % of Revenue</t>
        </is>
      </c>
      <c r="B14" s="3" t="n">
        <v>0.25</v>
      </c>
    </row>
    <row r="15">
      <c r="A15" t="inlineStr">
        <is>
          <t>New Installations % of Revenue</t>
        </is>
      </c>
      <c r="B15" s="3" t="n">
        <v>0.25</v>
      </c>
    </row>
    <row r="16">
      <c r="A16" t="inlineStr">
        <is>
          <t>Maintenance Contracts % of Revenue</t>
        </is>
      </c>
      <c r="B16" s="3" t="n">
        <v>0.25</v>
      </c>
    </row>
    <row r="17">
      <c r="A17" t="inlineStr">
        <is>
          <t>Equipment / Parts % of Revenue</t>
        </is>
      </c>
      <c r="B17" s="3" t="n">
        <v>0.25</v>
      </c>
    </row>
    <row r="18">
      <c r="A18" t="inlineStr">
        <is>
          <t>CHECK: Mix should sum to 100%</t>
        </is>
      </c>
      <c r="B18" s="3">
        <f>SUM(B14:B17)</f>
        <v/>
      </c>
    </row>
    <row r="20">
      <c r="A20" s="1" t="inlineStr">
        <is>
          <t>Margins &amp; Operating Costs (Annual)</t>
        </is>
      </c>
    </row>
    <row r="21">
      <c r="A21" t="inlineStr">
        <is>
          <t>Gross Margin % (on TTM Revenue)</t>
        </is>
      </c>
      <c r="B21" s="3" t="n">
        <v>0.45</v>
      </c>
    </row>
    <row r="22">
      <c r="A22" t="inlineStr">
        <is>
          <t>Technician &amp; Direct Labor (annual)</t>
        </is>
      </c>
      <c r="B22" s="2" t="n">
        <v>250000</v>
      </c>
    </row>
    <row r="23">
      <c r="A23" t="inlineStr">
        <is>
          <t>Office/Overhead Payroll</t>
        </is>
      </c>
      <c r="B23" s="2" t="n">
        <v>250000</v>
      </c>
    </row>
    <row r="24">
      <c r="A24" t="inlineStr">
        <is>
          <t>Marketing &amp; Lead Gen</t>
        </is>
      </c>
      <c r="B24" s="2" t="n">
        <v>250000</v>
      </c>
    </row>
    <row r="25">
      <c r="A25" t="inlineStr">
        <is>
          <t>Fleet (trucks, fuel, insurance)</t>
        </is>
      </c>
      <c r="B25" s="2" t="n">
        <v>250000</v>
      </c>
    </row>
    <row r="26">
      <c r="A26" t="inlineStr">
        <is>
          <t>Rent &amp; Utilities</t>
        </is>
      </c>
      <c r="B26" s="2" t="n">
        <v>250000</v>
      </c>
    </row>
    <row r="27">
      <c r="A27" t="inlineStr">
        <is>
          <t>Other Operating Expenses</t>
        </is>
      </c>
      <c r="B27" s="2" t="n">
        <v>250000</v>
      </c>
    </row>
    <row r="28">
      <c r="A28" t="inlineStr">
        <is>
          <t>Total Operating Expenses (auto)</t>
        </is>
      </c>
      <c r="B28" s="2">
        <f>SUM(B22:B27)</f>
        <v/>
      </c>
    </row>
    <row r="30">
      <c r="A30" s="1" t="inlineStr">
        <is>
          <t>Owner Adjustments / Add-backs</t>
        </is>
      </c>
    </row>
    <row r="31">
      <c r="A31" t="inlineStr">
        <is>
          <t>Owner Salary Above Market</t>
        </is>
      </c>
      <c r="B31" s="2" t="n">
        <v>0</v>
      </c>
    </row>
    <row r="32">
      <c r="A32" t="inlineStr">
        <is>
          <t>Personal / Non-business Expenses</t>
        </is>
      </c>
      <c r="B32" s="2" t="n">
        <v>0</v>
      </c>
    </row>
    <row r="33">
      <c r="A33" t="inlineStr">
        <is>
          <t>One-time / Non-recurring Costs</t>
        </is>
      </c>
      <c r="B33" s="2" t="n">
        <v>0</v>
      </c>
    </row>
    <row r="34">
      <c r="A34" t="inlineStr">
        <is>
          <t>Warranty Callback Reserve (negative add-back)</t>
        </is>
      </c>
      <c r="B34" s="2" t="n">
        <v>0</v>
      </c>
    </row>
    <row r="37">
      <c r="A37" s="1" t="inlineStr">
        <is>
          <t>Recurring Revenue &amp; Operational Metrics</t>
        </is>
      </c>
    </row>
    <row r="38">
      <c r="A38" t="inlineStr">
        <is>
          <t>Maintenance Contract Revenue (TTM)</t>
        </is>
      </c>
      <c r="B38" s="2" t="n">
        <v>400000</v>
      </c>
    </row>
    <row r="39">
      <c r="A39" t="inlineStr">
        <is>
          <t>Maintenance Contract Retention Rate</t>
        </is>
      </c>
      <c r="B39" s="3" t="n">
        <v>0.85</v>
      </c>
    </row>
    <row r="40">
      <c r="A40" t="inlineStr">
        <is>
          <t>Number of Technicians</t>
        </is>
      </c>
      <c r="B40" t="n">
        <v>8</v>
      </c>
    </row>
    <row r="41">
      <c r="A41" t="inlineStr">
        <is>
          <t>Number of Service Trucks</t>
        </is>
      </c>
      <c r="B41" t="n">
        <v>6</v>
      </c>
    </row>
    <row r="42">
      <c r="A42" t="inlineStr">
        <is>
          <t>Avg Revenue per Truck (auto)</t>
        </is>
      </c>
      <c r="B42" s="2">
        <f>B10/B41</f>
        <v/>
      </c>
    </row>
    <row r="44">
      <c r="A44" s="1" t="inlineStr">
        <is>
          <t>Balance Sheet &amp; Asset Values</t>
        </is>
      </c>
    </row>
    <row r="45">
      <c r="A45" t="inlineStr">
        <is>
          <t>Fleet (Trucks &amp; Equipment) Market Value</t>
        </is>
      </c>
      <c r="B45" s="2" t="n">
        <v>400000</v>
      </c>
    </row>
    <row r="46">
      <c r="A46" t="inlineStr">
        <is>
          <t>Inventory (Parts on trucks, warehouse)</t>
        </is>
      </c>
      <c r="B46" s="2" t="n">
        <v>200000</v>
      </c>
    </row>
    <row r="47">
      <c r="A47" t="inlineStr">
        <is>
          <t>Other Tangible Assets</t>
        </is>
      </c>
      <c r="B47" s="2" t="n">
        <v>50000</v>
      </c>
    </row>
    <row r="48">
      <c r="A48" t="inlineStr">
        <is>
          <t>Total Debt Outstanding</t>
        </is>
      </c>
      <c r="B48" s="2" t="n">
        <v>250000</v>
      </c>
    </row>
    <row r="49">
      <c r="A49" t="inlineStr">
        <is>
          <t>Asset Floor (auto: fleet + inventory + other)</t>
        </is>
      </c>
      <c r="B49" s="2">
        <f>B45+B46+B47</f>
        <v/>
      </c>
    </row>
    <row r="51">
      <c r="A51" s="1" t="inlineStr">
        <is>
          <t>Valuation Parameters</t>
        </is>
      </c>
    </row>
    <row r="52">
      <c r="A52" t="inlineStr">
        <is>
          <t>Low EBITDA Multiple</t>
        </is>
      </c>
      <c r="B52" t="n">
        <v>4</v>
      </c>
    </row>
    <row r="53">
      <c r="A53" t="inlineStr">
        <is>
          <t>High EBITDA Multiple</t>
        </is>
      </c>
      <c r="B53" t="n">
        <v>6</v>
      </c>
    </row>
    <row r="54">
      <c r="A54" t="inlineStr">
        <is>
          <t>Chosen EBITDA Multiple</t>
        </is>
      </c>
      <c r="B54">
        <f>AVERAGE(B52:B53)</f>
        <v/>
      </c>
    </row>
    <row r="55">
      <c r="A55" t="inlineStr">
        <is>
          <t>Discount Rate (DCF)</t>
        </is>
      </c>
      <c r="B55" s="3" t="n">
        <v>0.15</v>
      </c>
    </row>
    <row r="56">
      <c r="A56" t="inlineStr">
        <is>
          <t>Annual Revenue Growth Rate (Years 1–5)</t>
        </is>
      </c>
      <c r="B56" s="3" t="n">
        <v>0.07000000000000001</v>
      </c>
    </row>
    <row r="57">
      <c r="A57" t="inlineStr">
        <is>
          <t>Terminal EBITDA Multiple (Year 5)</t>
        </is>
      </c>
      <c r="B57" t="n">
        <v>5.5</v>
      </c>
    </row>
    <row r="58">
      <c r="A58" t="inlineStr">
        <is>
          <t>Weight – Market Multiple Method</t>
        </is>
      </c>
      <c r="B58" s="3" t="n">
        <v>0.5</v>
      </c>
    </row>
    <row r="59">
      <c r="A59" t="inlineStr">
        <is>
          <t>Weight – DCF Method</t>
        </is>
      </c>
      <c r="B59" s="3" t="n">
        <v>0.35</v>
      </c>
    </row>
    <row r="60">
      <c r="A60" t="inlineStr">
        <is>
          <t>Weight – Asset Floor</t>
        </is>
      </c>
      <c r="B60" s="3" t="n">
        <v>0.15</v>
      </c>
    </row>
    <row r="61">
      <c r="A61" t="inlineStr">
        <is>
          <t>CHECK: Weights should sum to 100%</t>
        </is>
      </c>
      <c r="B61" s="3">
        <f>SUM(B58:B60)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Key Derived Metrics</t>
        </is>
      </c>
    </row>
    <row r="3">
      <c r="A3" t="inlineStr">
        <is>
          <t>TTM Revenue</t>
        </is>
      </c>
      <c r="B3" s="2">
        <f>Inputs!B10</f>
        <v/>
      </c>
    </row>
    <row r="4">
      <c r="A4" t="inlineStr">
        <is>
          <t>Gross Profit</t>
        </is>
      </c>
      <c r="B4" s="2">
        <f>B3*Inputs!B21</f>
        <v/>
      </c>
    </row>
    <row r="5">
      <c r="A5" t="inlineStr">
        <is>
          <t>Gross Margin %</t>
        </is>
      </c>
      <c r="B5" s="3">
        <f>Inputs!B21</f>
        <v/>
      </c>
    </row>
    <row r="6">
      <c r="A6" t="inlineStr">
        <is>
          <t>Operating Expenses (Total)</t>
        </is>
      </c>
      <c r="B6" s="2">
        <f>Inputs!B28</f>
        <v/>
      </c>
    </row>
    <row r="7">
      <c r="A7" t="inlineStr">
        <is>
          <t>EBITDA (unadjusted)</t>
        </is>
      </c>
      <c r="B7" s="2">
        <f>B4-B6</f>
        <v/>
      </c>
    </row>
    <row r="8">
      <c r="A8" t="inlineStr">
        <is>
          <t>Total Add-backs</t>
        </is>
      </c>
      <c r="B8" s="2">
        <f>Inputs!B31+Inputs!B32+Inputs!B33+Inputs!B34</f>
        <v/>
      </c>
    </row>
    <row r="9">
      <c r="A9" t="inlineStr">
        <is>
          <t>Adjusted EBITDA</t>
        </is>
      </c>
      <c r="B9" s="2">
        <f>B7+B8</f>
        <v/>
      </c>
    </row>
    <row r="10">
      <c r="A10" t="inlineStr">
        <is>
          <t>Adjusted EBITDA Margin</t>
        </is>
      </c>
      <c r="B10" s="3">
        <f>IF(B3&gt;0,B9/B3,0)</f>
        <v/>
      </c>
    </row>
    <row r="12">
      <c r="A12" s="4" t="inlineStr">
        <is>
          <t>Market Multiple Valuation</t>
        </is>
      </c>
    </row>
    <row r="13">
      <c r="A13" t="inlineStr">
        <is>
          <t>Chosen EBITDA Multiple</t>
        </is>
      </c>
      <c r="B13">
        <f>Inputs!B54</f>
        <v/>
      </c>
    </row>
    <row r="14">
      <c r="A14" t="inlineStr">
        <is>
          <t>Enterprise Value (Multiple Method)</t>
        </is>
      </c>
      <c r="B14" s="2">
        <f>B9*B13</f>
        <v/>
      </c>
    </row>
    <row r="16">
      <c r="A16" s="4" t="inlineStr">
        <is>
          <t>Asset Floor</t>
        </is>
      </c>
    </row>
    <row r="17">
      <c r="A17" t="inlineStr">
        <is>
          <t>Asset Floor Value</t>
        </is>
      </c>
      <c r="B17" s="2">
        <f>Inputs!B49</f>
        <v/>
      </c>
    </row>
    <row r="19">
      <c r="A19" s="4" t="inlineStr">
        <is>
          <t>DCF Valuation (5-Year Forecast + Terminal Value)</t>
        </is>
      </c>
    </row>
    <row r="21">
      <c r="A21" s="4" t="inlineStr">
        <is>
          <t>Year</t>
        </is>
      </c>
      <c r="B21" s="4" t="inlineStr">
        <is>
          <t>Revenue</t>
        </is>
      </c>
      <c r="C21" s="4" t="inlineStr">
        <is>
          <t>Adj EBITDA Margin</t>
        </is>
      </c>
      <c r="D21" s="4" t="inlineStr">
        <is>
          <t>Adj EBITDA</t>
        </is>
      </c>
      <c r="E21" s="4" t="inlineStr">
        <is>
          <t>Discount Factor</t>
        </is>
      </c>
      <c r="F21" s="4" t="inlineStr">
        <is>
          <t>Present Value of EBITDA</t>
        </is>
      </c>
    </row>
    <row r="22">
      <c r="A22" t="n">
        <v>1</v>
      </c>
      <c r="B22">
        <f>Inputs!B10*(1+Inputs!B56)</f>
        <v/>
      </c>
      <c r="C22">
        <f>B10</f>
        <v/>
      </c>
      <c r="D22">
        <f>B22*C22</f>
        <v/>
      </c>
      <c r="E22">
        <f>1/(1+Inputs!B55)^1</f>
        <v/>
      </c>
      <c r="F22">
        <f>D22*E22</f>
        <v/>
      </c>
    </row>
    <row r="23">
      <c r="A23" t="n">
        <v>2</v>
      </c>
      <c r="B23">
        <f>B22*(1+Inputs!B56)</f>
        <v/>
      </c>
      <c r="C23">
        <f>C22</f>
        <v/>
      </c>
      <c r="D23">
        <f>B23*C23</f>
        <v/>
      </c>
      <c r="E23">
        <f>1/(1+Inputs!B55)^2</f>
        <v/>
      </c>
      <c r="F23">
        <f>D23*E23</f>
        <v/>
      </c>
    </row>
    <row r="24">
      <c r="A24" t="n">
        <v>3</v>
      </c>
      <c r="B24">
        <f>B23*(1+Inputs!B56)</f>
        <v/>
      </c>
      <c r="C24">
        <f>C22</f>
        <v/>
      </c>
      <c r="D24">
        <f>B24*C24</f>
        <v/>
      </c>
      <c r="E24">
        <f>1/(1+Inputs!B55)^3</f>
        <v/>
      </c>
      <c r="F24">
        <f>D24*E24</f>
        <v/>
      </c>
    </row>
    <row r="25">
      <c r="A25" t="n">
        <v>4</v>
      </c>
      <c r="B25">
        <f>B24*(1+Inputs!B56)</f>
        <v/>
      </c>
      <c r="C25">
        <f>C22</f>
        <v/>
      </c>
      <c r="D25">
        <f>B25*C25</f>
        <v/>
      </c>
      <c r="E25">
        <f>1/(1+Inputs!B55)^4</f>
        <v/>
      </c>
      <c r="F25">
        <f>D25*E25</f>
        <v/>
      </c>
    </row>
    <row r="26">
      <c r="A26" t="n">
        <v>5</v>
      </c>
      <c r="B26">
        <f>B25*(1+Inputs!B56)</f>
        <v/>
      </c>
      <c r="C26">
        <f>C22</f>
        <v/>
      </c>
      <c r="D26">
        <f>B26*C26</f>
        <v/>
      </c>
      <c r="E26">
        <f>1/(1+Inputs!B55)^5</f>
        <v/>
      </c>
      <c r="F26">
        <f>D26*E26</f>
        <v/>
      </c>
    </row>
    <row r="28">
      <c r="A28" t="inlineStr">
        <is>
          <t>Sum of PV of 5-Year EBITDA</t>
        </is>
      </c>
      <c r="B28" s="2">
        <f>SUM(F22:F26)</f>
        <v/>
      </c>
    </row>
    <row r="29">
      <c r="A29" t="inlineStr">
        <is>
          <t>Terminal Value (EBITDA_5 * Terminal Multiple)</t>
        </is>
      </c>
      <c r="B29" s="2">
        <f>D26*Inputs!B57</f>
        <v/>
      </c>
    </row>
    <row r="30">
      <c r="A30" t="inlineStr">
        <is>
          <t>PV of Terminal Value</t>
        </is>
      </c>
      <c r="B30" s="2">
        <f>B29*E26</f>
        <v/>
      </c>
    </row>
    <row r="31">
      <c r="A31" t="inlineStr">
        <is>
          <t>Enterprise Value (DCF)</t>
        </is>
      </c>
      <c r="B31" s="2">
        <f>B28+B30</f>
        <v/>
      </c>
    </row>
    <row r="33">
      <c r="A33" s="4" t="inlineStr">
        <is>
          <t>Blended Enterprise Value</t>
        </is>
      </c>
    </row>
    <row r="34">
      <c r="A34" t="inlineStr">
        <is>
          <t>Weight – Market Multiple</t>
        </is>
      </c>
      <c r="B34" s="3">
        <f>Inputs!B58</f>
        <v/>
      </c>
    </row>
    <row r="35">
      <c r="A35" t="inlineStr">
        <is>
          <t>Weight – DCF</t>
        </is>
      </c>
      <c r="B35" s="3">
        <f>Inputs!B59</f>
        <v/>
      </c>
    </row>
    <row r="36">
      <c r="A36" t="inlineStr">
        <is>
          <t>Weight – Asset Floor</t>
        </is>
      </c>
      <c r="B36" s="3">
        <f>Inputs!B60</f>
        <v/>
      </c>
    </row>
    <row r="37">
      <c r="A37" t="inlineStr">
        <is>
          <t>Blended Enterprise Value</t>
        </is>
      </c>
      <c r="B37" s="2">
        <f>B14*B34 + B31*B35 + B17*B36</f>
        <v/>
      </c>
    </row>
    <row r="39">
      <c r="A39" t="inlineStr">
        <is>
          <t>Equity Value (Blended EV - Debt)</t>
        </is>
      </c>
      <c r="B39" s="2">
        <f>B37-Inputs!B48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5" t="inlineStr">
        <is>
          <t>HVAC Business Valuation Summary</t>
        </is>
      </c>
    </row>
    <row r="3">
      <c r="A3" s="6" t="inlineStr">
        <is>
          <t>Business Name</t>
        </is>
      </c>
      <c r="B3" s="6">
        <f>Inputs!B2</f>
        <v/>
      </c>
    </row>
    <row r="4">
      <c r="A4" s="6" t="inlineStr">
        <is>
          <t>TTM Revenue</t>
        </is>
      </c>
      <c r="B4" s="7">
        <f>Calculations!B3</f>
        <v/>
      </c>
    </row>
    <row r="5">
      <c r="A5" s="6" t="inlineStr">
        <is>
          <t>Adjusted EBITDA</t>
        </is>
      </c>
      <c r="B5" s="7">
        <f>Calculations!B9</f>
        <v/>
      </c>
    </row>
    <row r="6">
      <c r="A6" s="6" t="inlineStr">
        <is>
          <t>Adjusted EBITDA Margin</t>
        </is>
      </c>
      <c r="B6" s="8">
        <f>Calculations!B10</f>
        <v/>
      </c>
    </row>
    <row r="7">
      <c r="A7" s="6" t="n"/>
      <c r="B7" s="6" t="n"/>
    </row>
    <row r="8">
      <c r="A8" s="6" t="inlineStr">
        <is>
          <t>Enterprise Value (Market Multiple)</t>
        </is>
      </c>
      <c r="B8" s="7">
        <f>Calculations!B14</f>
        <v/>
      </c>
    </row>
    <row r="9">
      <c r="A9" s="6" t="inlineStr">
        <is>
          <t>Enterprise Value (DCF)</t>
        </is>
      </c>
      <c r="B9" s="7">
        <f>Calculations!B31</f>
        <v/>
      </c>
    </row>
    <row r="10">
      <c r="A10" s="6" t="inlineStr">
        <is>
          <t>Asset Floor Value</t>
        </is>
      </c>
      <c r="B10" s="7">
        <f>Calculations!B17</f>
        <v/>
      </c>
    </row>
    <row r="11">
      <c r="A11" s="6" t="n"/>
      <c r="B11" s="6" t="n"/>
    </row>
    <row r="12">
      <c r="A12" s="6" t="inlineStr">
        <is>
          <t>Blended Enterprise Value</t>
        </is>
      </c>
      <c r="B12" s="9">
        <f>Calculations!B37</f>
        <v/>
      </c>
    </row>
    <row r="13">
      <c r="A13" s="6" t="inlineStr">
        <is>
          <t>Debt Outstanding</t>
        </is>
      </c>
      <c r="B13" s="7">
        <f>Inputs!B48</f>
        <v/>
      </c>
    </row>
    <row r="14">
      <c r="A14" s="6" t="inlineStr">
        <is>
          <t>Equity Value (Owner's Business Value)</t>
        </is>
      </c>
      <c r="B14" s="9">
        <f>Calculations!B39</f>
        <v/>
      </c>
    </row>
    <row r="15">
      <c r="A15" s="6" t="n"/>
      <c r="B15" s="6" t="n"/>
    </row>
    <row r="16">
      <c r="A16" s="6" t="inlineStr">
        <is>
          <t>Implied Value / Technician</t>
        </is>
      </c>
      <c r="B16" s="7">
        <f>IF(Inputs!B40&gt;0,B14/Inputs!B40,0)</f>
        <v/>
      </c>
    </row>
    <row r="17">
      <c r="A17" s="6" t="inlineStr">
        <is>
          <t>Implied Value / Service Truck</t>
        </is>
      </c>
      <c r="B17" s="7">
        <f>IF(Inputs!B41&gt;0,B14/Inputs!B41,0)</f>
        <v/>
      </c>
    </row>
    <row r="20">
      <c r="E20" t="inlineStr">
        <is>
          <t>Market Multiple EV</t>
        </is>
      </c>
      <c r="F20" s="2">
        <f>Calculations!B14</f>
        <v/>
      </c>
    </row>
    <row r="21">
      <c r="E21" t="inlineStr">
        <is>
          <t>DCF EV</t>
        </is>
      </c>
      <c r="F21" s="2">
        <f>Calculations!B31</f>
        <v/>
      </c>
    </row>
    <row r="22">
      <c r="E22" t="inlineStr">
        <is>
          <t>Asset Floor</t>
        </is>
      </c>
      <c r="F22" s="2">
        <f>Calculations!B17</f>
        <v/>
      </c>
    </row>
    <row r="23">
      <c r="E23" t="inlineStr">
        <is>
          <t>Blended EV</t>
        </is>
      </c>
      <c r="F23" s="2">
        <f>Calculations!B37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2025-11-28T14:36:22Z</dcterms:created>
  <dcterms:modified xmlns:dcterms="http://purl.org/dc/terms/" xmlns:xsi="http://www.w3.org/2001/XMLSchema-instance" xsi:type="dcterms:W3CDTF">2025-11-28T14:36:22Z</dcterms:modified>
</cp:coreProperties>
</file>